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069431fd8323c71/Desktop/FINANCIAL  DATASET OF COMPANY/"/>
    </mc:Choice>
  </mc:AlternateContent>
  <xr:revisionPtr revIDLastSave="17" documentId="8_{D8B684AB-FABE-4F7B-9864-66C5B0C931C9}" xr6:coauthVersionLast="47" xr6:coauthVersionMax="47" xr10:uidLastSave="{A5666B60-DA07-4BDD-824D-7BAF3F4150EC}"/>
  <bookViews>
    <workbookView xWindow="-108" yWindow="-108" windowWidth="23256" windowHeight="12456" tabRatio="500" activeTab="3" xr2:uid="{00000000-000D-0000-FFFF-FFFF00000000}"/>
  </bookViews>
  <sheets>
    <sheet name="Raw Data" sheetId="1" r:id="rId1"/>
    <sheet name="Source Note" sheetId="2" r:id="rId2"/>
    <sheet name="Ratios" sheetId="3" r:id="rId3"/>
    <sheet name="Char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4" l="1"/>
  <c r="D3" i="4"/>
  <c r="C3" i="4"/>
  <c r="B3" i="4"/>
  <c r="H4" i="3"/>
  <c r="H3" i="3"/>
  <c r="G2" i="3"/>
  <c r="G4" i="3"/>
  <c r="G3" i="3"/>
  <c r="F2" i="3"/>
  <c r="E2" i="3"/>
  <c r="G16" i="3"/>
  <c r="E6" i="3"/>
  <c r="F14" i="4"/>
  <c r="C14" i="4"/>
  <c r="B14" i="4"/>
  <c r="E13" i="4"/>
  <c r="D12" i="4"/>
  <c r="F11" i="4"/>
  <c r="E11" i="4"/>
  <c r="C11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H26" i="3"/>
  <c r="G26" i="3"/>
  <c r="F26" i="3"/>
  <c r="E26" i="3"/>
  <c r="D26" i="3"/>
  <c r="F15" i="4" s="1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F13" i="4" s="1"/>
  <c r="C24" i="3"/>
  <c r="B24" i="3"/>
  <c r="A24" i="3"/>
  <c r="H23" i="3"/>
  <c r="G23" i="3"/>
  <c r="F23" i="3"/>
  <c r="E23" i="3"/>
  <c r="D23" i="3"/>
  <c r="F12" i="4" s="1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E15" i="4" s="1"/>
  <c r="C21" i="3"/>
  <c r="B21" i="3"/>
  <c r="A21" i="3"/>
  <c r="H20" i="3"/>
  <c r="G20" i="3"/>
  <c r="F20" i="3"/>
  <c r="E20" i="3"/>
  <c r="D20" i="3"/>
  <c r="E14" i="4" s="1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E12" i="4" s="1"/>
  <c r="C18" i="3"/>
  <c r="B18" i="3"/>
  <c r="A18" i="3"/>
  <c r="H17" i="3"/>
  <c r="G17" i="3"/>
  <c r="F17" i="3"/>
  <c r="E17" i="3"/>
  <c r="D17" i="3"/>
  <c r="C17" i="3"/>
  <c r="B17" i="3"/>
  <c r="A17" i="3"/>
  <c r="H16" i="3"/>
  <c r="F16" i="3"/>
  <c r="E16" i="3"/>
  <c r="D16" i="3"/>
  <c r="D15" i="4" s="1"/>
  <c r="C16" i="3"/>
  <c r="B16" i="3"/>
  <c r="A16" i="3"/>
  <c r="H15" i="3"/>
  <c r="G15" i="3"/>
  <c r="F15" i="3"/>
  <c r="E15" i="3"/>
  <c r="D15" i="3"/>
  <c r="D14" i="4" s="1"/>
  <c r="C15" i="3"/>
  <c r="B15" i="3"/>
  <c r="A15" i="3"/>
  <c r="H14" i="3"/>
  <c r="G14" i="3"/>
  <c r="F14" i="3"/>
  <c r="E14" i="3"/>
  <c r="D14" i="3"/>
  <c r="D13" i="4" s="1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D11" i="4" s="1"/>
  <c r="C12" i="3"/>
  <c r="B12" i="3"/>
  <c r="A12" i="3"/>
  <c r="H11" i="3"/>
  <c r="G11" i="3"/>
  <c r="F11" i="3"/>
  <c r="E11" i="3"/>
  <c r="D11" i="3"/>
  <c r="C15" i="4" s="1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13" i="4" s="1"/>
  <c r="C9" i="3"/>
  <c r="B9" i="3"/>
  <c r="A9" i="3"/>
  <c r="H8" i="3"/>
  <c r="G8" i="3"/>
  <c r="F8" i="3"/>
  <c r="E8" i="3"/>
  <c r="D8" i="3"/>
  <c r="C12" i="4" s="1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D6" i="3"/>
  <c r="B15" i="4" s="1"/>
  <c r="C6" i="3"/>
  <c r="B6" i="3"/>
  <c r="A6" i="3"/>
  <c r="H5" i="3"/>
  <c r="G5" i="3"/>
  <c r="F5" i="3"/>
  <c r="E5" i="3"/>
  <c r="D5" i="3"/>
  <c r="C5" i="3"/>
  <c r="B5" i="3"/>
  <c r="A5" i="3"/>
  <c r="F4" i="3"/>
  <c r="E4" i="3"/>
  <c r="D4" i="3"/>
  <c r="B13" i="4" s="1"/>
  <c r="C4" i="3"/>
  <c r="B4" i="3"/>
  <c r="A4" i="3"/>
  <c r="F3" i="3"/>
  <c r="E3" i="3"/>
  <c r="D3" i="3"/>
  <c r="B12" i="4" s="1"/>
  <c r="C3" i="3"/>
  <c r="B3" i="3"/>
  <c r="A3" i="3"/>
  <c r="H2" i="3"/>
  <c r="D2" i="3"/>
  <c r="C2" i="3"/>
  <c r="B2" i="3"/>
  <c r="A2" i="3"/>
</calcChain>
</file>

<file path=xl/sharedStrings.xml><?xml version="1.0" encoding="utf-8"?>
<sst xmlns="http://schemas.openxmlformats.org/spreadsheetml/2006/main" count="102" uniqueCount="38">
  <si>
    <t>Company</t>
  </si>
  <si>
    <t>Year</t>
  </si>
  <si>
    <t>Sales (Rs Cr)</t>
  </si>
  <si>
    <t>Net Profit (Rs Cr)</t>
  </si>
  <si>
    <t>PBT (Rs Cr)</t>
  </si>
  <si>
    <t>Interest (Rs Cr)</t>
  </si>
  <si>
    <t>Equity Capital (Rs Cr)</t>
  </si>
  <si>
    <t>Reserves (Rs Cr)</t>
  </si>
  <si>
    <t>Borrowings (Rs Cr)</t>
  </si>
  <si>
    <t>Other Liabilities (Rs Cr)</t>
  </si>
  <si>
    <t>Total Assets (Rs Cr)</t>
  </si>
  <si>
    <t>Receivables (Rs Cr)</t>
  </si>
  <si>
    <t>Inventory (Rs Cr)</t>
  </si>
  <si>
    <t>Cash &amp; Bank (Rs Cr)</t>
  </si>
  <si>
    <t>TCS</t>
  </si>
  <si>
    <t>FY2021-22</t>
  </si>
  <si>
    <t>FY2022-23</t>
  </si>
  <si>
    <t>FY2023-24</t>
  </si>
  <si>
    <t>FY2024-25</t>
  </si>
  <si>
    <t>FY2025-26</t>
  </si>
  <si>
    <t>Infosys</t>
  </si>
  <si>
    <t>Wipro</t>
  </si>
  <si>
    <t>HCL Technologies</t>
  </si>
  <si>
    <t>Tech Mahindra</t>
  </si>
  <si>
    <t>Data Source</t>
  </si>
  <si>
    <t>Source: screener.in (Consolidated financials), FY2021-22 to FY2025-26</t>
  </si>
  <si>
    <t>All figures in Rs. Crores unless stated</t>
  </si>
  <si>
    <t>Note on Current Ratio: Screener.in does not separate current vs non-current liabilities.</t>
  </si>
  <si>
    <t>Current Ratio below is an approximation using (Receivables+Inventory+Cash &amp; Bank) / Other Liabilities.</t>
  </si>
  <si>
    <t>This should be flagged as a limitation in the Methodology/Limitations section of the paper.</t>
  </si>
  <si>
    <t>Net Profit Margin (%)</t>
  </si>
  <si>
    <t>ROE (%)</t>
  </si>
  <si>
    <t>ROCE (%)</t>
  </si>
  <si>
    <t>Debt-Equity Ratio</t>
  </si>
  <si>
    <t>Current Ratio (approx)</t>
  </si>
  <si>
    <t>Asset Turnover Ratio</t>
  </si>
  <si>
    <t>Net Profit Trend (Rs Cr)</t>
  </si>
  <si>
    <t>ROE Comparison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</si>
</sst>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sz val="11"/>
      <color rgb="FF0000FF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4" fillId="3" borderId="0" xfId="0" applyFont="1" applyFill="1"/>
    <xf numFmtId="0" fontId="0" fillId="3" borderId="0" xfId="0" applyFill="1"/>
    <xf numFmtId="2" fontId="0" fillId="3" borderId="0" xfId="0" applyNumberFormat="1" applyFill="1"/>
    <xf numFmtId="0" fontId="4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8064A2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8B855"/>
      <rgbColor rgb="FFFFCC00"/>
      <rgbColor rgb="FFFF9900"/>
      <rgbColor rgb="FFFF6600"/>
      <rgbColor rgb="FF7D5FA0"/>
      <rgbColor rgb="FF9BBB59"/>
      <rgbColor rgb="FF003366"/>
      <rgbColor rgb="FF46AAC4"/>
      <rgbColor rgb="FF003300"/>
      <rgbColor rgb="FF333300"/>
      <rgbColor rgb="FF993300"/>
      <rgbColor rgb="FFC0504D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Net Profit Trend (FY2021-22 to FY2025-26)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TCS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Charts!$A$3:$A$7</c:f>
              <c:strCache>
                <c:ptCount val="5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  <c:pt idx="4">
                  <c:v>FY2025-26</c:v>
                </c:pt>
              </c:strCache>
            </c:strRef>
          </c:cat>
          <c:val>
            <c:numRef>
              <c:f>Charts!$B$3:$B$7</c:f>
              <c:numCache>
                <c:formatCode>General</c:formatCode>
                <c:ptCount val="5"/>
                <c:pt idx="0">
                  <c:v>38327</c:v>
                </c:pt>
                <c:pt idx="1">
                  <c:v>42147</c:v>
                </c:pt>
                <c:pt idx="2">
                  <c:v>45908</c:v>
                </c:pt>
                <c:pt idx="3">
                  <c:v>48553</c:v>
                </c:pt>
                <c:pt idx="4">
                  <c:v>49210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96-440B-A1FE-01F086AA5B0F}"/>
            </c:ext>
          </c:extLst>
        </c:ser>
        <c:ser>
          <c:idx val="1"/>
          <c:order val="1"/>
          <c:tx>
            <c:strRef>
              <c:f>Charts!$C$2</c:f>
              <c:strCache>
                <c:ptCount val="1"/>
                <c:pt idx="0">
                  <c:v>Infosys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Charts!$A$3:$A$7</c:f>
              <c:strCache>
                <c:ptCount val="5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  <c:pt idx="4">
                  <c:v>FY2025-26</c:v>
                </c:pt>
              </c:strCache>
            </c:strRef>
          </c:cat>
          <c:val>
            <c:numRef>
              <c:f>Charts!$C$3:$C$7</c:f>
              <c:numCache>
                <c:formatCode>General</c:formatCode>
                <c:ptCount val="5"/>
                <c:pt idx="0">
                  <c:v>22110</c:v>
                </c:pt>
                <c:pt idx="1">
                  <c:v>24095</c:v>
                </c:pt>
                <c:pt idx="2">
                  <c:v>26233</c:v>
                </c:pt>
                <c:pt idx="3">
                  <c:v>26713</c:v>
                </c:pt>
                <c:pt idx="4">
                  <c:v>29440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96-440B-A1FE-01F086AA5B0F}"/>
            </c:ext>
          </c:extLst>
        </c:ser>
        <c:ser>
          <c:idx val="2"/>
          <c:order val="2"/>
          <c:tx>
            <c:strRef>
              <c:f>Charts!$D$2</c:f>
              <c:strCache>
                <c:ptCount val="1"/>
                <c:pt idx="0">
                  <c:v>Wipro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Charts!$A$3:$A$7</c:f>
              <c:strCache>
                <c:ptCount val="5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  <c:pt idx="4">
                  <c:v>FY2025-26</c:v>
                </c:pt>
              </c:strCache>
            </c:strRef>
          </c:cat>
          <c:val>
            <c:numRef>
              <c:f>Charts!$D$3:$D$7</c:f>
              <c:numCache>
                <c:formatCode>General</c:formatCode>
                <c:ptCount val="5"/>
                <c:pt idx="0">
                  <c:v>12229.6</c:v>
                </c:pt>
                <c:pt idx="1">
                  <c:v>11350</c:v>
                </c:pt>
                <c:pt idx="2">
                  <c:v>11045.2</c:v>
                </c:pt>
                <c:pt idx="3">
                  <c:v>13135.4</c:v>
                </c:pt>
                <c:pt idx="4">
                  <c:v>13197.4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96-440B-A1FE-01F086AA5B0F}"/>
            </c:ext>
          </c:extLst>
        </c:ser>
        <c:ser>
          <c:idx val="3"/>
          <c:order val="3"/>
          <c:tx>
            <c:strRef>
              <c:f>Charts!$E$2</c:f>
              <c:strCache>
                <c:ptCount val="1"/>
                <c:pt idx="0">
                  <c:v>HCL Technologies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Charts!$A$3:$A$7</c:f>
              <c:strCache>
                <c:ptCount val="5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  <c:pt idx="4">
                  <c:v>FY2025-26</c:v>
                </c:pt>
              </c:strCache>
            </c:strRef>
          </c:cat>
          <c:val>
            <c:numRef>
              <c:f>Charts!$E$3:$E$7</c:f>
              <c:numCache>
                <c:formatCode>General</c:formatCode>
                <c:ptCount val="5"/>
                <c:pt idx="0">
                  <c:v>13499</c:v>
                </c:pt>
                <c:pt idx="1">
                  <c:v>14851</c:v>
                </c:pt>
                <c:pt idx="2">
                  <c:v>15702</c:v>
                </c:pt>
                <c:pt idx="3">
                  <c:v>17390</c:v>
                </c:pt>
                <c:pt idx="4">
                  <c:v>16642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296-440B-A1FE-01F086AA5B0F}"/>
            </c:ext>
          </c:extLst>
        </c:ser>
        <c:ser>
          <c:idx val="4"/>
          <c:order val="4"/>
          <c:tx>
            <c:strRef>
              <c:f>Charts!$F$2</c:f>
              <c:strCache>
                <c:ptCount val="1"/>
                <c:pt idx="0">
                  <c:v>Tech Mahindra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Charts!$A$3:$A$7</c:f>
              <c:strCache>
                <c:ptCount val="5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  <c:pt idx="4">
                  <c:v>FY2025-26</c:v>
                </c:pt>
              </c:strCache>
            </c:strRef>
          </c:cat>
          <c:val>
            <c:numRef>
              <c:f>Charts!$F$3:$F$7</c:f>
              <c:numCache>
                <c:formatCode>General</c:formatCode>
                <c:ptCount val="5"/>
                <c:pt idx="0">
                  <c:v>5566.1</c:v>
                </c:pt>
                <c:pt idx="1">
                  <c:v>4831.3</c:v>
                </c:pt>
                <c:pt idx="2">
                  <c:v>2357.8000000000002</c:v>
                </c:pt>
                <c:pt idx="3">
                  <c:v>4251.5</c:v>
                </c:pt>
                <c:pt idx="4">
                  <c:v>4810.8999999999996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296-440B-A1FE-01F086AA5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7366993"/>
        <c:axId val="80117956"/>
      </c:lineChart>
      <c:catAx>
        <c:axId val="973669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117956"/>
        <c:crosses val="autoZero"/>
        <c:auto val="1"/>
        <c:lblAlgn val="ctr"/>
        <c:lblOffset val="100"/>
        <c:noMultiLvlLbl val="0"/>
      </c:catAx>
      <c:valAx>
        <c:axId val="801179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Net Profit (Rs Cr)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366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ROE Comparison Across Companies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TCS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Charts!$A$11:$A$15</c:f>
              <c:strCache>
                <c:ptCount val="5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  <c:pt idx="4">
                  <c:v>FY2025-26</c:v>
                </c:pt>
              </c:strCache>
            </c:strRef>
          </c:cat>
          <c:val>
            <c:numRef>
              <c:f>Charts!$B$11:$B$15</c:f>
              <c:numCache>
                <c:formatCode>0.00</c:formatCode>
                <c:ptCount val="5"/>
                <c:pt idx="0">
                  <c:v>42.996892493745726</c:v>
                </c:pt>
                <c:pt idx="1">
                  <c:v>46.610413164646552</c:v>
                </c:pt>
                <c:pt idx="2">
                  <c:v>50.733238294157303</c:v>
                </c:pt>
                <c:pt idx="3">
                  <c:v>51.240027016758837</c:v>
                </c:pt>
                <c:pt idx="4">
                  <c:v>45.887728459530024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2-4152-8D75-93F2081AE182}"/>
            </c:ext>
          </c:extLst>
        </c:ser>
        <c:ser>
          <c:idx val="1"/>
          <c:order val="1"/>
          <c:tx>
            <c:strRef>
              <c:f>Charts!$C$10</c:f>
              <c:strCache>
                <c:ptCount val="1"/>
                <c:pt idx="0">
                  <c:v>Infosys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Charts!$A$11:$A$15</c:f>
              <c:strCache>
                <c:ptCount val="5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  <c:pt idx="4">
                  <c:v>FY2025-26</c:v>
                </c:pt>
              </c:strCache>
            </c:strRef>
          </c:cat>
          <c:val>
            <c:numRef>
              <c:f>Charts!$C$11:$C$15</c:f>
              <c:numCache>
                <c:formatCode>0.00</c:formatCode>
                <c:ptCount val="5"/>
                <c:pt idx="0">
                  <c:v>29.34306569343066</c:v>
                </c:pt>
                <c:pt idx="1">
                  <c:v>31.95326693808267</c:v>
                </c:pt>
                <c:pt idx="2">
                  <c:v>29.770983703300196</c:v>
                </c:pt>
                <c:pt idx="3">
                  <c:v>27.878895405873632</c:v>
                </c:pt>
                <c:pt idx="4">
                  <c:v>31.706371429802267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2-4152-8D75-93F2081AE182}"/>
            </c:ext>
          </c:extLst>
        </c:ser>
        <c:ser>
          <c:idx val="2"/>
          <c:order val="2"/>
          <c:tx>
            <c:strRef>
              <c:f>Charts!$D$10</c:f>
              <c:strCache>
                <c:ptCount val="1"/>
                <c:pt idx="0">
                  <c:v>Wipro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Charts!$A$11:$A$15</c:f>
              <c:strCache>
                <c:ptCount val="5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  <c:pt idx="4">
                  <c:v>FY2025-26</c:v>
                </c:pt>
              </c:strCache>
            </c:strRef>
          </c:cat>
          <c:val>
            <c:numRef>
              <c:f>Charts!$D$11:$D$15</c:f>
              <c:numCache>
                <c:formatCode>0.00</c:formatCode>
                <c:ptCount val="5"/>
                <c:pt idx="0">
                  <c:v>18.698836444811402</c:v>
                </c:pt>
                <c:pt idx="1">
                  <c:v>14.613501845678844</c:v>
                </c:pt>
                <c:pt idx="2">
                  <c:v>14.819207599318423</c:v>
                </c:pt>
                <c:pt idx="3">
                  <c:v>15.947967621815817</c:v>
                </c:pt>
                <c:pt idx="4">
                  <c:v>14.993927399188578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D2-4152-8D75-93F2081AE182}"/>
            </c:ext>
          </c:extLst>
        </c:ser>
        <c:ser>
          <c:idx val="3"/>
          <c:order val="3"/>
          <c:tx>
            <c:strRef>
              <c:f>Charts!$E$10</c:f>
              <c:strCache>
                <c:ptCount val="1"/>
                <c:pt idx="0">
                  <c:v>HCL Technologies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Charts!$A$11:$A$15</c:f>
              <c:strCache>
                <c:ptCount val="5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  <c:pt idx="4">
                  <c:v>FY2025-26</c:v>
                </c:pt>
              </c:strCache>
            </c:strRef>
          </c:cat>
          <c:val>
            <c:numRef>
              <c:f>Charts!$E$11:$E$15</c:f>
              <c:numCache>
                <c:formatCode>0.00</c:formatCode>
                <c:ptCount val="5"/>
                <c:pt idx="0">
                  <c:v>21.802823270988792</c:v>
                </c:pt>
                <c:pt idx="1">
                  <c:v>22.706215121168107</c:v>
                </c:pt>
                <c:pt idx="2">
                  <c:v>23.002212032872858</c:v>
                </c:pt>
                <c:pt idx="3">
                  <c:v>24.965903380948962</c:v>
                </c:pt>
                <c:pt idx="4">
                  <c:v>22.140623960619969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D2-4152-8D75-93F2081AE182}"/>
            </c:ext>
          </c:extLst>
        </c:ser>
        <c:ser>
          <c:idx val="4"/>
          <c:order val="4"/>
          <c:tx>
            <c:strRef>
              <c:f>Charts!$F$10</c:f>
              <c:strCache>
                <c:ptCount val="1"/>
                <c:pt idx="0">
                  <c:v>Tech Mahindra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Charts!$A$11:$A$15</c:f>
              <c:strCache>
                <c:ptCount val="5"/>
                <c:pt idx="0">
                  <c:v>FY2021-22</c:v>
                </c:pt>
                <c:pt idx="1">
                  <c:v>FY2022-23</c:v>
                </c:pt>
                <c:pt idx="2">
                  <c:v>FY2023-24</c:v>
                </c:pt>
                <c:pt idx="3">
                  <c:v>FY2024-25</c:v>
                </c:pt>
                <c:pt idx="4">
                  <c:v>FY2025-26</c:v>
                </c:pt>
              </c:strCache>
            </c:strRef>
          </c:cat>
          <c:val>
            <c:numRef>
              <c:f>Charts!$F$11:$F$15</c:f>
              <c:numCache>
                <c:formatCode>0.00</c:formatCode>
                <c:ptCount val="5"/>
                <c:pt idx="0">
                  <c:v>20.702827153468199</c:v>
                </c:pt>
                <c:pt idx="1">
                  <c:v>17.30129456212287</c:v>
                </c:pt>
                <c:pt idx="2">
                  <c:v>8.8408438135091174</c:v>
                </c:pt>
                <c:pt idx="3">
                  <c:v>15.538256309047386</c:v>
                </c:pt>
                <c:pt idx="4">
                  <c:v>16.244588963849889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D2-4152-8D75-93F2081AE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95092"/>
        <c:axId val="89475160"/>
      </c:barChart>
      <c:catAx>
        <c:axId val="471950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75160"/>
        <c:crosses val="autoZero"/>
        <c:auto val="1"/>
        <c:lblAlgn val="ctr"/>
        <c:lblOffset val="100"/>
        <c:noMultiLvlLbl val="0"/>
      </c:catAx>
      <c:valAx>
        <c:axId val="89475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ROE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1950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563880</xdr:colOff>
      <xdr:row>1</xdr:row>
      <xdr:rowOff>68580</xdr:rowOff>
    </xdr:from>
    <xdr:to>
      <xdr:col>17</xdr:col>
      <xdr:colOff>388620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17</xdr:row>
      <xdr:rowOff>0</xdr:rowOff>
    </xdr:from>
    <xdr:to>
      <xdr:col>6</xdr:col>
      <xdr:colOff>220980</xdr:colOff>
      <xdr:row>32</xdr:row>
      <xdr:rowOff>151380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zoomScaleNormal="100" workbookViewId="0">
      <pane ySplit="1" topLeftCell="A2" activePane="bottomLeft" state="frozen"/>
      <selection pane="bottomLeft" activeCell="F2" sqref="F2"/>
    </sheetView>
  </sheetViews>
  <sheetFormatPr defaultColWidth="8.6640625" defaultRowHeight="14.4" x14ac:dyDescent="0.3"/>
  <cols>
    <col min="1" max="1" width="16" customWidth="1"/>
    <col min="2" max="2" width="12" customWidth="1"/>
    <col min="3" max="3" width="14" customWidth="1"/>
    <col min="4" max="4" width="15" customWidth="1"/>
    <col min="5" max="6" width="12" customWidth="1"/>
    <col min="7" max="9" width="14" customWidth="1"/>
    <col min="10" max="10" width="16" customWidth="1"/>
    <col min="11" max="12" width="14" customWidth="1"/>
    <col min="13" max="13" width="12" customWidth="1"/>
    <col min="14" max="14" width="14" customWidth="1"/>
  </cols>
  <sheetData>
    <row r="1" spans="1:14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s="2">
        <v>191754</v>
      </c>
      <c r="D2" s="2">
        <v>38327</v>
      </c>
      <c r="E2" s="2">
        <v>51687</v>
      </c>
      <c r="F2" s="2">
        <v>784</v>
      </c>
      <c r="G2" s="2">
        <v>366</v>
      </c>
      <c r="H2" s="2">
        <v>88773</v>
      </c>
      <c r="I2" s="2">
        <v>7818</v>
      </c>
      <c r="J2" s="2">
        <v>43967</v>
      </c>
      <c r="K2" s="2">
        <v>140924</v>
      </c>
      <c r="L2" s="2">
        <v>41810</v>
      </c>
      <c r="M2" s="2">
        <v>20</v>
      </c>
      <c r="N2" s="2">
        <v>18221</v>
      </c>
    </row>
    <row r="3" spans="1:14" x14ac:dyDescent="0.3">
      <c r="A3" t="s">
        <v>14</v>
      </c>
      <c r="B3" t="s">
        <v>16</v>
      </c>
      <c r="C3" s="2">
        <v>225458</v>
      </c>
      <c r="D3" s="2">
        <v>42147</v>
      </c>
      <c r="E3" s="2">
        <v>56907</v>
      </c>
      <c r="F3" s="2">
        <v>779</v>
      </c>
      <c r="G3" s="2">
        <v>366</v>
      </c>
      <c r="H3" s="2">
        <v>90058</v>
      </c>
      <c r="I3" s="2">
        <v>7688</v>
      </c>
      <c r="J3" s="2">
        <v>44747</v>
      </c>
      <c r="K3" s="2">
        <v>142859</v>
      </c>
      <c r="L3" s="2">
        <v>49954</v>
      </c>
      <c r="M3" s="2">
        <v>28</v>
      </c>
      <c r="N3" s="2">
        <v>11032</v>
      </c>
    </row>
    <row r="4" spans="1:14" x14ac:dyDescent="0.3">
      <c r="A4" t="s">
        <v>14</v>
      </c>
      <c r="B4" t="s">
        <v>17</v>
      </c>
      <c r="C4" s="2">
        <v>240893</v>
      </c>
      <c r="D4" s="2">
        <v>45908</v>
      </c>
      <c r="E4" s="2">
        <v>61997</v>
      </c>
      <c r="F4" s="2">
        <v>778</v>
      </c>
      <c r="G4" s="2">
        <v>362</v>
      </c>
      <c r="H4" s="2">
        <v>90127</v>
      </c>
      <c r="I4" s="2">
        <v>8021</v>
      </c>
      <c r="J4" s="2">
        <v>46962</v>
      </c>
      <c r="K4" s="2">
        <v>145472</v>
      </c>
      <c r="L4" s="2">
        <v>53577</v>
      </c>
      <c r="M4" s="2">
        <v>28</v>
      </c>
      <c r="N4" s="2">
        <v>13286</v>
      </c>
    </row>
    <row r="5" spans="1:14" x14ac:dyDescent="0.3">
      <c r="A5" t="s">
        <v>14</v>
      </c>
      <c r="B5" t="s">
        <v>18</v>
      </c>
      <c r="C5" s="2">
        <v>255324</v>
      </c>
      <c r="D5" s="2">
        <v>48553</v>
      </c>
      <c r="E5" s="2">
        <v>65331</v>
      </c>
      <c r="F5" s="2">
        <v>796</v>
      </c>
      <c r="G5" s="2">
        <v>362</v>
      </c>
      <c r="H5" s="2">
        <v>94394</v>
      </c>
      <c r="I5" s="2">
        <v>9392</v>
      </c>
      <c r="J5" s="2">
        <v>54501</v>
      </c>
      <c r="K5" s="2">
        <v>158649</v>
      </c>
      <c r="L5" s="2">
        <v>59046</v>
      </c>
      <c r="M5" s="2">
        <v>21</v>
      </c>
      <c r="N5" s="2">
        <v>15463</v>
      </c>
    </row>
    <row r="6" spans="1:14" x14ac:dyDescent="0.3">
      <c r="A6" t="s">
        <v>14</v>
      </c>
      <c r="B6" t="s">
        <v>19</v>
      </c>
      <c r="C6" s="2">
        <v>267021</v>
      </c>
      <c r="D6" s="2">
        <v>49210</v>
      </c>
      <c r="E6" s="2">
        <v>65487</v>
      </c>
      <c r="F6" s="2">
        <v>1227</v>
      </c>
      <c r="G6" s="2">
        <v>362</v>
      </c>
      <c r="H6" s="2">
        <v>106878</v>
      </c>
      <c r="I6" s="2">
        <v>11283</v>
      </c>
      <c r="J6" s="2">
        <v>62644</v>
      </c>
      <c r="K6" s="2">
        <v>181167</v>
      </c>
      <c r="L6" s="2">
        <v>67714</v>
      </c>
      <c r="M6" s="2">
        <v>29</v>
      </c>
      <c r="N6" s="2">
        <v>12908</v>
      </c>
    </row>
    <row r="7" spans="1:14" x14ac:dyDescent="0.3">
      <c r="A7" t="s">
        <v>20</v>
      </c>
      <c r="B7" t="s">
        <v>15</v>
      </c>
      <c r="C7" s="2">
        <v>121641</v>
      </c>
      <c r="D7" s="2">
        <v>22110</v>
      </c>
      <c r="E7" s="2">
        <v>30110</v>
      </c>
      <c r="F7" s="2">
        <v>200</v>
      </c>
      <c r="G7" s="2">
        <v>2098</v>
      </c>
      <c r="H7" s="2">
        <v>73252</v>
      </c>
      <c r="I7" s="2">
        <v>5474</v>
      </c>
      <c r="J7" s="2">
        <v>35905</v>
      </c>
      <c r="K7" s="2">
        <v>116729</v>
      </c>
      <c r="L7" s="2">
        <v>22698</v>
      </c>
      <c r="M7" s="2">
        <v>0</v>
      </c>
      <c r="N7" s="2">
        <v>17472</v>
      </c>
    </row>
    <row r="8" spans="1:14" x14ac:dyDescent="0.3">
      <c r="A8" t="s">
        <v>20</v>
      </c>
      <c r="B8" t="s">
        <v>16</v>
      </c>
      <c r="C8" s="2">
        <v>146767</v>
      </c>
      <c r="D8" s="2">
        <v>24095</v>
      </c>
      <c r="E8" s="2">
        <v>33322</v>
      </c>
      <c r="F8" s="2">
        <v>284</v>
      </c>
      <c r="G8" s="2">
        <v>2069</v>
      </c>
      <c r="H8" s="2">
        <v>73338</v>
      </c>
      <c r="I8" s="2">
        <v>8299</v>
      </c>
      <c r="J8" s="2">
        <v>40890</v>
      </c>
      <c r="K8" s="2">
        <v>124596</v>
      </c>
      <c r="L8" s="2">
        <v>25424</v>
      </c>
      <c r="M8" s="2">
        <v>0</v>
      </c>
      <c r="N8" s="2">
        <v>12173</v>
      </c>
    </row>
    <row r="9" spans="1:14" x14ac:dyDescent="0.3">
      <c r="A9" t="s">
        <v>20</v>
      </c>
      <c r="B9" t="s">
        <v>17</v>
      </c>
      <c r="C9" s="2">
        <v>153670</v>
      </c>
      <c r="D9" s="2">
        <v>26233</v>
      </c>
      <c r="E9" s="2">
        <v>35988</v>
      </c>
      <c r="F9" s="2">
        <v>470</v>
      </c>
      <c r="G9" s="2">
        <v>2071</v>
      </c>
      <c r="H9" s="2">
        <v>86045</v>
      </c>
      <c r="I9" s="2">
        <v>8359</v>
      </c>
      <c r="J9" s="2">
        <v>39545</v>
      </c>
      <c r="K9" s="2">
        <v>136020</v>
      </c>
      <c r="L9" s="2">
        <v>30193</v>
      </c>
      <c r="M9" s="2">
        <v>0</v>
      </c>
      <c r="N9" s="2">
        <v>14786</v>
      </c>
    </row>
    <row r="10" spans="1:14" x14ac:dyDescent="0.3">
      <c r="A10" t="s">
        <v>20</v>
      </c>
      <c r="B10" t="s">
        <v>18</v>
      </c>
      <c r="C10" s="2">
        <v>162990</v>
      </c>
      <c r="D10" s="2">
        <v>26713</v>
      </c>
      <c r="E10" s="2">
        <v>37608</v>
      </c>
      <c r="F10" s="2">
        <v>416</v>
      </c>
      <c r="G10" s="2">
        <v>2073</v>
      </c>
      <c r="H10" s="2">
        <v>93745</v>
      </c>
      <c r="I10" s="2">
        <v>8227</v>
      </c>
      <c r="J10" s="2">
        <v>43750</v>
      </c>
      <c r="K10" s="2">
        <v>147795</v>
      </c>
      <c r="L10" s="2">
        <v>31158</v>
      </c>
      <c r="M10" s="2">
        <v>0</v>
      </c>
      <c r="N10" s="2">
        <v>24455</v>
      </c>
    </row>
    <row r="11" spans="1:14" x14ac:dyDescent="0.3">
      <c r="A11" t="s">
        <v>20</v>
      </c>
      <c r="B11" t="s">
        <v>19</v>
      </c>
      <c r="C11" s="2">
        <v>178650</v>
      </c>
      <c r="D11" s="2">
        <v>29440</v>
      </c>
      <c r="E11" s="2">
        <v>39995</v>
      </c>
      <c r="F11" s="2">
        <v>416</v>
      </c>
      <c r="G11" s="2">
        <v>2024</v>
      </c>
      <c r="H11" s="2">
        <v>90828</v>
      </c>
      <c r="I11" s="2">
        <v>9176</v>
      </c>
      <c r="J11" s="2">
        <v>52260</v>
      </c>
      <c r="K11" s="2">
        <v>154288</v>
      </c>
      <c r="L11" s="2">
        <v>35234</v>
      </c>
      <c r="M11" s="2">
        <v>0</v>
      </c>
      <c r="N11" s="2">
        <v>22201</v>
      </c>
    </row>
    <row r="12" spans="1:14" x14ac:dyDescent="0.3">
      <c r="A12" t="s">
        <v>21</v>
      </c>
      <c r="B12" t="s">
        <v>15</v>
      </c>
      <c r="C12" s="2">
        <v>79312</v>
      </c>
      <c r="D12" s="2">
        <v>12229.6</v>
      </c>
      <c r="E12" s="2">
        <v>15140.8</v>
      </c>
      <c r="F12" s="2">
        <v>532.5</v>
      </c>
      <c r="G12" s="2">
        <v>1096.4000000000001</v>
      </c>
      <c r="H12" s="2">
        <v>64306.6</v>
      </c>
      <c r="I12" s="2">
        <v>17592.900000000001</v>
      </c>
      <c r="J12" s="2">
        <v>24279.7</v>
      </c>
      <c r="K12" s="2">
        <v>107275.6</v>
      </c>
      <c r="L12" s="2">
        <v>11521.9</v>
      </c>
      <c r="M12" s="2">
        <v>133.4</v>
      </c>
      <c r="N12" s="2">
        <v>10383.6</v>
      </c>
    </row>
    <row r="13" spans="1:14" x14ac:dyDescent="0.3">
      <c r="A13" t="s">
        <v>21</v>
      </c>
      <c r="B13" t="s">
        <v>16</v>
      </c>
      <c r="C13" s="2">
        <v>90487.6</v>
      </c>
      <c r="D13" s="2">
        <v>11350</v>
      </c>
      <c r="E13" s="2">
        <v>14765.7</v>
      </c>
      <c r="F13" s="2">
        <v>1007.7</v>
      </c>
      <c r="G13" s="2">
        <v>1097.5999999999999</v>
      </c>
      <c r="H13" s="2">
        <v>76570.3</v>
      </c>
      <c r="I13" s="2">
        <v>17466.599999999999</v>
      </c>
      <c r="J13" s="2">
        <v>21789.200000000001</v>
      </c>
      <c r="K13" s="2">
        <v>116923.7</v>
      </c>
      <c r="L13" s="2">
        <v>12635</v>
      </c>
      <c r="M13" s="2">
        <v>118.8</v>
      </c>
      <c r="N13" s="2">
        <v>9188</v>
      </c>
    </row>
    <row r="14" spans="1:14" x14ac:dyDescent="0.3">
      <c r="A14" t="s">
        <v>21</v>
      </c>
      <c r="B14" t="s">
        <v>17</v>
      </c>
      <c r="C14" s="2">
        <v>89760.3</v>
      </c>
      <c r="D14" s="2">
        <v>11045.2</v>
      </c>
      <c r="E14" s="2">
        <v>14721</v>
      </c>
      <c r="F14" s="2">
        <v>1255.2</v>
      </c>
      <c r="G14" s="2">
        <v>1045</v>
      </c>
      <c r="H14" s="2">
        <v>73488</v>
      </c>
      <c r="I14" s="2">
        <v>16464.900000000001</v>
      </c>
      <c r="J14" s="2">
        <v>23611</v>
      </c>
      <c r="K14" s="2">
        <v>114608.9</v>
      </c>
      <c r="L14" s="2">
        <v>11547.7</v>
      </c>
      <c r="M14" s="2">
        <v>90.7</v>
      </c>
      <c r="N14" s="2">
        <v>9695.2999999999993</v>
      </c>
    </row>
    <row r="15" spans="1:14" x14ac:dyDescent="0.3">
      <c r="A15" t="s">
        <v>21</v>
      </c>
      <c r="B15" t="s">
        <v>18</v>
      </c>
      <c r="C15" s="2">
        <v>89088.4</v>
      </c>
      <c r="D15" s="2">
        <v>13135.4</v>
      </c>
      <c r="E15" s="2">
        <v>17495.7</v>
      </c>
      <c r="F15" s="2">
        <v>1477</v>
      </c>
      <c r="G15" s="2">
        <v>2094.4</v>
      </c>
      <c r="H15" s="2">
        <v>80269.7</v>
      </c>
      <c r="I15" s="2">
        <v>19203.5</v>
      </c>
      <c r="J15" s="2">
        <v>26361.5</v>
      </c>
      <c r="K15" s="2">
        <v>127929.1</v>
      </c>
      <c r="L15" s="2">
        <v>11774.5</v>
      </c>
      <c r="M15" s="2">
        <v>69.400000000000006</v>
      </c>
      <c r="N15" s="2">
        <v>12197.4</v>
      </c>
    </row>
    <row r="16" spans="1:14" x14ac:dyDescent="0.3">
      <c r="A16" t="s">
        <v>21</v>
      </c>
      <c r="B16" t="s">
        <v>19</v>
      </c>
      <c r="C16" s="2">
        <v>92624</v>
      </c>
      <c r="D16" s="2">
        <v>13197.4</v>
      </c>
      <c r="E16" s="2">
        <v>17342.2</v>
      </c>
      <c r="F16" s="2">
        <v>1457.7</v>
      </c>
      <c r="G16" s="2">
        <v>2097.6999999999998</v>
      </c>
      <c r="H16" s="2">
        <v>85920.6</v>
      </c>
      <c r="I16" s="2">
        <v>20291</v>
      </c>
      <c r="J16" s="2">
        <v>32574.2</v>
      </c>
      <c r="K16" s="2">
        <v>140883.5</v>
      </c>
      <c r="L16" s="2">
        <v>13590.1</v>
      </c>
      <c r="M16" s="2">
        <v>51.7</v>
      </c>
      <c r="N16" s="2">
        <v>10555.5</v>
      </c>
    </row>
    <row r="17" spans="1:14" x14ac:dyDescent="0.3">
      <c r="A17" t="s">
        <v>22</v>
      </c>
      <c r="B17" t="s">
        <v>15</v>
      </c>
      <c r="C17" s="2">
        <v>85651</v>
      </c>
      <c r="D17" s="2">
        <v>13499</v>
      </c>
      <c r="E17" s="2">
        <v>16951</v>
      </c>
      <c r="F17" s="2">
        <v>319</v>
      </c>
      <c r="G17" s="2">
        <v>543</v>
      </c>
      <c r="H17" s="2">
        <v>61371</v>
      </c>
      <c r="I17" s="2">
        <v>6343</v>
      </c>
      <c r="J17" s="2">
        <v>20664</v>
      </c>
      <c r="K17" s="2">
        <v>88921</v>
      </c>
      <c r="L17" s="2">
        <v>20671</v>
      </c>
      <c r="M17" s="2">
        <v>161</v>
      </c>
      <c r="N17" s="2">
        <v>12636</v>
      </c>
    </row>
    <row r="18" spans="1:14" x14ac:dyDescent="0.3">
      <c r="A18" t="s">
        <v>22</v>
      </c>
      <c r="B18" t="s">
        <v>16</v>
      </c>
      <c r="C18" s="2">
        <v>101456</v>
      </c>
      <c r="D18" s="2">
        <v>14851</v>
      </c>
      <c r="E18" s="2">
        <v>19488</v>
      </c>
      <c r="F18" s="2">
        <v>353</v>
      </c>
      <c r="G18" s="2">
        <v>543</v>
      </c>
      <c r="H18" s="2">
        <v>64862</v>
      </c>
      <c r="I18" s="2">
        <v>4794</v>
      </c>
      <c r="J18" s="2">
        <v>23051</v>
      </c>
      <c r="K18" s="2">
        <v>93250</v>
      </c>
      <c r="L18" s="2">
        <v>25506</v>
      </c>
      <c r="M18" s="2">
        <v>228</v>
      </c>
      <c r="N18" s="2">
        <v>14724</v>
      </c>
    </row>
    <row r="19" spans="1:14" x14ac:dyDescent="0.3">
      <c r="A19" t="s">
        <v>22</v>
      </c>
      <c r="B19" t="s">
        <v>17</v>
      </c>
      <c r="C19" s="2">
        <v>109913</v>
      </c>
      <c r="D19" s="2">
        <v>15702</v>
      </c>
      <c r="E19" s="2">
        <v>20967</v>
      </c>
      <c r="F19" s="2">
        <v>553</v>
      </c>
      <c r="G19" s="2">
        <v>543</v>
      </c>
      <c r="H19" s="2">
        <v>67720</v>
      </c>
      <c r="I19" s="2">
        <v>5756</v>
      </c>
      <c r="J19" s="2">
        <v>24987</v>
      </c>
      <c r="K19" s="2">
        <v>99006</v>
      </c>
      <c r="L19" s="2">
        <v>25521</v>
      </c>
      <c r="M19" s="2">
        <v>185</v>
      </c>
      <c r="N19" s="2">
        <v>20150</v>
      </c>
    </row>
    <row r="20" spans="1:14" x14ac:dyDescent="0.3">
      <c r="A20" t="s">
        <v>22</v>
      </c>
      <c r="B20" t="s">
        <v>18</v>
      </c>
      <c r="C20" s="2">
        <v>117055</v>
      </c>
      <c r="D20" s="2">
        <v>17390</v>
      </c>
      <c r="E20" s="2">
        <v>23261</v>
      </c>
      <c r="F20" s="2">
        <v>644</v>
      </c>
      <c r="G20" s="2">
        <v>543</v>
      </c>
      <c r="H20" s="2">
        <v>69112</v>
      </c>
      <c r="I20" s="2">
        <v>6276</v>
      </c>
      <c r="J20" s="2">
        <v>28549</v>
      </c>
      <c r="K20" s="2">
        <v>104480</v>
      </c>
      <c r="L20" s="2">
        <v>25842</v>
      </c>
      <c r="M20" s="2">
        <v>133</v>
      </c>
      <c r="N20" s="2">
        <v>21289</v>
      </c>
    </row>
    <row r="21" spans="1:14" x14ac:dyDescent="0.3">
      <c r="A21" t="s">
        <v>22</v>
      </c>
      <c r="B21" t="s">
        <v>19</v>
      </c>
      <c r="C21" s="2">
        <v>130144</v>
      </c>
      <c r="D21" s="2">
        <v>16642</v>
      </c>
      <c r="E21" s="2">
        <v>22102</v>
      </c>
      <c r="F21" s="2">
        <v>869</v>
      </c>
      <c r="G21" s="2">
        <v>543</v>
      </c>
      <c r="H21" s="2">
        <v>74622</v>
      </c>
      <c r="I21" s="2">
        <v>5215</v>
      </c>
      <c r="J21" s="2">
        <v>35878</v>
      </c>
      <c r="K21" s="2">
        <v>116258</v>
      </c>
      <c r="L21" s="2">
        <v>23585</v>
      </c>
      <c r="M21" s="2">
        <v>239</v>
      </c>
      <c r="N21" s="2">
        <v>23425</v>
      </c>
    </row>
    <row r="22" spans="1:14" x14ac:dyDescent="0.3">
      <c r="A22" t="s">
        <v>23</v>
      </c>
      <c r="B22" t="s">
        <v>15</v>
      </c>
      <c r="C22" s="2">
        <v>44646</v>
      </c>
      <c r="D22" s="2">
        <v>5566.1</v>
      </c>
      <c r="E22" s="2">
        <v>7452.1</v>
      </c>
      <c r="F22" s="2">
        <v>162.6</v>
      </c>
      <c r="G22" s="2">
        <v>438.8</v>
      </c>
      <c r="H22" s="2">
        <v>26446.9</v>
      </c>
      <c r="I22" s="2">
        <v>2618.4</v>
      </c>
      <c r="J22" s="2">
        <v>14911.4</v>
      </c>
      <c r="K22" s="2">
        <v>44415.5</v>
      </c>
      <c r="L22" s="2">
        <v>11933.4</v>
      </c>
      <c r="M22" s="2">
        <v>40.5</v>
      </c>
      <c r="N22" s="2">
        <v>3974.5</v>
      </c>
    </row>
    <row r="23" spans="1:14" x14ac:dyDescent="0.3">
      <c r="A23" t="s">
        <v>23</v>
      </c>
      <c r="B23" t="s">
        <v>16</v>
      </c>
      <c r="C23" s="2">
        <v>53290.2</v>
      </c>
      <c r="D23" s="2">
        <v>4831.3</v>
      </c>
      <c r="E23" s="2">
        <v>6445.5</v>
      </c>
      <c r="F23" s="2">
        <v>325.60000000000002</v>
      </c>
      <c r="G23" s="2">
        <v>440</v>
      </c>
      <c r="H23" s="2">
        <v>27484.5</v>
      </c>
      <c r="I23" s="2">
        <v>2740.2</v>
      </c>
      <c r="J23" s="2">
        <v>15162.5</v>
      </c>
      <c r="K23" s="2">
        <v>45827.199999999997</v>
      </c>
      <c r="L23" s="2">
        <v>12881.6</v>
      </c>
      <c r="M23" s="2">
        <v>23.6</v>
      </c>
      <c r="N23" s="2">
        <v>4254.7</v>
      </c>
    </row>
    <row r="24" spans="1:14" x14ac:dyDescent="0.3">
      <c r="A24" t="s">
        <v>23</v>
      </c>
      <c r="B24" t="s">
        <v>17</v>
      </c>
      <c r="C24" s="2">
        <v>51995.5</v>
      </c>
      <c r="D24" s="2">
        <v>2357.8000000000002</v>
      </c>
      <c r="E24" s="2">
        <v>3224.4</v>
      </c>
      <c r="F24" s="2">
        <v>392.2</v>
      </c>
      <c r="G24" s="2">
        <v>441.3</v>
      </c>
      <c r="H24" s="2">
        <v>26228.1</v>
      </c>
      <c r="I24" s="2">
        <v>2536.6999999999998</v>
      </c>
      <c r="J24" s="2">
        <v>13943</v>
      </c>
      <c r="K24" s="2">
        <v>43149.1</v>
      </c>
      <c r="L24" s="2">
        <v>11401.1</v>
      </c>
      <c r="M24" s="2">
        <v>37.5</v>
      </c>
      <c r="N24" s="2">
        <v>4735.5</v>
      </c>
    </row>
    <row r="25" spans="1:14" x14ac:dyDescent="0.3">
      <c r="A25" t="s">
        <v>23</v>
      </c>
      <c r="B25" t="s">
        <v>18</v>
      </c>
      <c r="C25" s="2">
        <v>52988.3</v>
      </c>
      <c r="D25" s="2">
        <v>4251.5</v>
      </c>
      <c r="E25" s="2">
        <v>5653.2</v>
      </c>
      <c r="F25" s="2">
        <v>321.7</v>
      </c>
      <c r="G25" s="2">
        <v>442.4</v>
      </c>
      <c r="H25" s="2">
        <v>26919.1</v>
      </c>
      <c r="I25" s="2">
        <v>2025.2</v>
      </c>
      <c r="J25" s="2">
        <v>14879.9</v>
      </c>
      <c r="K25" s="2">
        <v>44266.6</v>
      </c>
      <c r="L25" s="2">
        <v>11547</v>
      </c>
      <c r="M25" s="2">
        <v>39.4</v>
      </c>
      <c r="N25" s="2">
        <v>4542.2</v>
      </c>
    </row>
    <row r="26" spans="1:14" x14ac:dyDescent="0.3">
      <c r="A26" t="s">
        <v>23</v>
      </c>
      <c r="B26" t="s">
        <v>19</v>
      </c>
      <c r="C26" s="2">
        <v>56815.4</v>
      </c>
      <c r="D26" s="2">
        <v>4810.8999999999996</v>
      </c>
      <c r="E26" s="2">
        <v>6573.1</v>
      </c>
      <c r="F26" s="2">
        <v>337.4</v>
      </c>
      <c r="G26" s="2">
        <v>442.8</v>
      </c>
      <c r="H26" s="2">
        <v>29172.6</v>
      </c>
      <c r="I26" s="2">
        <v>2186.1999999999998</v>
      </c>
      <c r="J26" s="2">
        <v>17366.099999999999</v>
      </c>
      <c r="K26" s="2">
        <v>49167.7</v>
      </c>
      <c r="L26" s="2">
        <v>13357.7</v>
      </c>
      <c r="M26" s="2">
        <v>104.2</v>
      </c>
      <c r="N26" s="2">
        <v>5105.3999999999996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zoomScaleNormal="100" workbookViewId="0"/>
  </sheetViews>
  <sheetFormatPr defaultColWidth="8.6640625" defaultRowHeight="14.4" x14ac:dyDescent="0.3"/>
  <cols>
    <col min="1" max="1" width="100" customWidth="1"/>
  </cols>
  <sheetData>
    <row r="1" spans="1:1" ht="16.8" x14ac:dyDescent="0.3">
      <c r="A1" s="3" t="s">
        <v>24</v>
      </c>
    </row>
    <row r="3" spans="1:1" x14ac:dyDescent="0.3">
      <c r="A3" t="s">
        <v>25</v>
      </c>
    </row>
    <row r="4" spans="1:1" x14ac:dyDescent="0.3">
      <c r="A4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zoomScaleNormal="100" workbookViewId="0">
      <pane ySplit="1" topLeftCell="A2" activePane="bottomLeft" state="frozen"/>
      <selection pane="bottomLeft" activeCell="H6" sqref="H6"/>
    </sheetView>
  </sheetViews>
  <sheetFormatPr defaultColWidth="8.6640625" defaultRowHeight="14.4" x14ac:dyDescent="0.3"/>
  <cols>
    <col min="1" max="1" width="16" customWidth="1"/>
    <col min="2" max="2" width="12" customWidth="1"/>
    <col min="3" max="3" width="18" customWidth="1"/>
    <col min="4" max="5" width="10" customWidth="1"/>
    <col min="6" max="6" width="16" customWidth="1"/>
    <col min="7" max="7" width="18" customWidth="1"/>
    <col min="8" max="8" width="16" customWidth="1"/>
  </cols>
  <sheetData>
    <row r="1" spans="1:8" ht="28.2" x14ac:dyDescent="0.3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3">
      <c r="A2" t="str">
        <f>'Raw Data'!A2</f>
        <v>TCS</v>
      </c>
      <c r="B2" t="str">
        <f>'Raw Data'!B2</f>
        <v>FY2021-22</v>
      </c>
      <c r="C2" s="4">
        <f>'Raw Data'!D2/'Raw Data'!C2*100</f>
        <v>19.987588264130082</v>
      </c>
      <c r="D2" s="4">
        <f>'Raw Data'!D2/('Raw Data'!G2+'Raw Data'!H2)*100</f>
        <v>42.996892493745726</v>
      </c>
      <c r="E2" s="4">
        <f>('Raw Data'!E2+'Raw Data'!F2)/('Raw Data'!G2+'Raw Data'!H2+'Raw Data'!I2)*100</f>
        <v>54.117804800066004</v>
      </c>
      <c r="F2" s="4">
        <f>'Raw Data'!I2/('Raw Data'!G2+'Raw Data'!H2)</f>
        <v>8.7705718035876554E-2</v>
      </c>
      <c r="G2" s="4">
        <f>('Raw Data'!L2+'Raw Data'!M2+'Raw Data'!N2)/'Raw Data'!J2</f>
        <v>1.365819819410012</v>
      </c>
      <c r="H2" s="4">
        <f>'Raw Data'!C2/'Raw Data'!K2</f>
        <v>1.3606908688371038</v>
      </c>
    </row>
    <row r="3" spans="1:8" x14ac:dyDescent="0.3">
      <c r="A3" t="str">
        <f>'Raw Data'!A3</f>
        <v>TCS</v>
      </c>
      <c r="B3" t="str">
        <f>'Raw Data'!B3</f>
        <v>FY2022-23</v>
      </c>
      <c r="C3" s="4">
        <f>'Raw Data'!D3/'Raw Data'!C3*100</f>
        <v>18.693947431450646</v>
      </c>
      <c r="D3" s="4">
        <f>'Raw Data'!D3/('Raw Data'!G3+'Raw Data'!H3)*100</f>
        <v>46.610413164646552</v>
      </c>
      <c r="E3" s="4">
        <f>('Raw Data'!E3+'Raw Data'!F3)/('Raw Data'!G3+'Raw Data'!H3+'Raw Data'!I3)*100</f>
        <v>58.796069797782124</v>
      </c>
      <c r="F3" s="4">
        <f>'Raw Data'!I3/('Raw Data'!G3+'Raw Data'!H3)</f>
        <v>8.5021675661328858E-2</v>
      </c>
      <c r="G3" s="4">
        <f>('Raw Data'!L3+'Raw Data'!M3+'Raw Data'!N3)/'Raw Data'!J3</f>
        <v>1.3635327507989363</v>
      </c>
      <c r="H3" s="4">
        <f>'Raw Data'!C3/'Raw Data'!K3</f>
        <v>1.5781854835887132</v>
      </c>
    </row>
    <row r="4" spans="1:8" x14ac:dyDescent="0.3">
      <c r="A4" t="str">
        <f>'Raw Data'!A4</f>
        <v>TCS</v>
      </c>
      <c r="B4" t="str">
        <f>'Raw Data'!B4</f>
        <v>FY2023-24</v>
      </c>
      <c r="C4" s="4">
        <f>'Raw Data'!D4/'Raw Data'!C4*100</f>
        <v>19.057423835478822</v>
      </c>
      <c r="D4" s="4">
        <f>'Raw Data'!D4/('Raw Data'!G4+'Raw Data'!H4)*100</f>
        <v>50.733238294157303</v>
      </c>
      <c r="E4" s="4">
        <f>('Raw Data'!E4+'Raw Data'!F4)/('Raw Data'!G4+'Raw Data'!H4+'Raw Data'!I4)*100</f>
        <v>63.724494975129431</v>
      </c>
      <c r="F4" s="4">
        <f>'Raw Data'!I4/('Raw Data'!G4+'Raw Data'!H4)</f>
        <v>8.8640608250726602E-2</v>
      </c>
      <c r="G4" s="4">
        <f>('Raw Data'!L4+'Raw Data'!M4+'Raw Data'!N4)/'Raw Data'!J4</f>
        <v>1.424364379711256</v>
      </c>
      <c r="H4" s="4">
        <f>'Raw Data'!C4/'Raw Data'!K4</f>
        <v>1.6559406621205455</v>
      </c>
    </row>
    <row r="5" spans="1:8" x14ac:dyDescent="0.3">
      <c r="A5" t="str">
        <f>'Raw Data'!A5</f>
        <v>TCS</v>
      </c>
      <c r="B5" t="str">
        <f>'Raw Data'!B5</f>
        <v>FY2024-25</v>
      </c>
      <c r="C5" s="4">
        <f>'Raw Data'!D5/'Raw Data'!C5*100</f>
        <v>19.01623035828986</v>
      </c>
      <c r="D5" s="4">
        <f>'Raw Data'!D5/('Raw Data'!G5+'Raw Data'!H5)*100</f>
        <v>51.240027016758837</v>
      </c>
      <c r="E5" s="4">
        <f>('Raw Data'!E5+'Raw Data'!F5)/('Raw Data'!G5+'Raw Data'!H5+'Raw Data'!I5)*100</f>
        <v>63.49329799900142</v>
      </c>
      <c r="F5" s="4">
        <f>'Raw Data'!I5/('Raw Data'!G5+'Raw Data'!H5)</f>
        <v>9.9117733969352861E-2</v>
      </c>
      <c r="G5" s="4">
        <f>('Raw Data'!L5+'Raw Data'!M5+'Raw Data'!N5)/'Raw Data'!J5</f>
        <v>1.3674978440762555</v>
      </c>
      <c r="H5" s="4">
        <f>'Raw Data'!C5/'Raw Data'!K5</f>
        <v>1.6093640678478907</v>
      </c>
    </row>
    <row r="6" spans="1:8" x14ac:dyDescent="0.3">
      <c r="A6" t="str">
        <f>'Raw Data'!A6</f>
        <v>TCS</v>
      </c>
      <c r="B6" t="str">
        <f>'Raw Data'!B6</f>
        <v>FY2025-26</v>
      </c>
      <c r="C6" s="4">
        <f>'Raw Data'!D6/'Raw Data'!C6*100</f>
        <v>18.429262117960761</v>
      </c>
      <c r="D6" s="4">
        <f>'Raw Data'!D6/('Raw Data'!G6+'Raw Data'!H6)*100</f>
        <v>45.887728459530024</v>
      </c>
      <c r="E6" s="4">
        <f>('Raw Data'!E6+'Raw Data'!F6)/('Raw Data'!G6+'Raw Data'!H6+'Raw Data'!I6)*100</f>
        <v>56.287809117217755</v>
      </c>
      <c r="F6" s="4">
        <f>'Raw Data'!I6/('Raw Data'!G6+'Raw Data'!H6)</f>
        <v>0.10521260723610593</v>
      </c>
      <c r="G6" s="4">
        <f>('Raw Data'!L6+'Raw Data'!M6+'Raw Data'!N6)/'Raw Data'!J6</f>
        <v>1.2874497158546709</v>
      </c>
      <c r="H6" s="4">
        <f>'Raw Data'!C6/'Raw Data'!K6</f>
        <v>1.4738942522644853</v>
      </c>
    </row>
    <row r="7" spans="1:8" x14ac:dyDescent="0.3">
      <c r="A7" t="str">
        <f>'Raw Data'!A7</f>
        <v>Infosys</v>
      </c>
      <c r="B7" t="str">
        <f>'Raw Data'!B7</f>
        <v>FY2021-22</v>
      </c>
      <c r="C7" s="4">
        <f>'Raw Data'!D7/'Raw Data'!C7*100</f>
        <v>18.176437221002786</v>
      </c>
      <c r="D7" s="4">
        <f>'Raw Data'!D7/('Raw Data'!G7+'Raw Data'!H7)*100</f>
        <v>29.34306569343066</v>
      </c>
      <c r="E7" s="4">
        <f>('Raw Data'!E7+'Raw Data'!F7)/('Raw Data'!G7+'Raw Data'!H7+'Raw Data'!I7)*100</f>
        <v>37.501237256260517</v>
      </c>
      <c r="F7" s="4">
        <f>'Raw Data'!I7/('Raw Data'!G7+'Raw Data'!H7)</f>
        <v>7.264764432647644E-2</v>
      </c>
      <c r="G7" s="4">
        <f>('Raw Data'!L7+'Raw Data'!M7+'Raw Data'!N7)/'Raw Data'!J7</f>
        <v>1.1187856844450634</v>
      </c>
      <c r="H7" s="4">
        <f>'Raw Data'!C7/'Raw Data'!K7</f>
        <v>1.0420803742000702</v>
      </c>
    </row>
    <row r="8" spans="1:8" x14ac:dyDescent="0.3">
      <c r="A8" t="str">
        <f>'Raw Data'!A8</f>
        <v>Infosys</v>
      </c>
      <c r="B8" t="str">
        <f>'Raw Data'!B8</f>
        <v>FY2022-23</v>
      </c>
      <c r="C8" s="4">
        <f>'Raw Data'!D8/'Raw Data'!C8*100</f>
        <v>16.417178248516358</v>
      </c>
      <c r="D8" s="4">
        <f>'Raw Data'!D8/('Raw Data'!G8+'Raw Data'!H8)*100</f>
        <v>31.95326693808267</v>
      </c>
      <c r="E8" s="4">
        <f>('Raw Data'!E8+'Raw Data'!F8)/('Raw Data'!G8+'Raw Data'!H8+'Raw Data'!I8)*100</f>
        <v>40.147659665973769</v>
      </c>
      <c r="F8" s="4">
        <f>'Raw Data'!I8/('Raw Data'!G8+'Raw Data'!H8)</f>
        <v>0.11005609558794277</v>
      </c>
      <c r="G8" s="4">
        <f>('Raw Data'!L8+'Raw Data'!M8+'Raw Data'!N8)/'Raw Data'!J8</f>
        <v>0.91946686231352404</v>
      </c>
      <c r="H8" s="4">
        <f>'Raw Data'!C8/'Raw Data'!K8</f>
        <v>1.1779431121384314</v>
      </c>
    </row>
    <row r="9" spans="1:8" x14ac:dyDescent="0.3">
      <c r="A9" t="str">
        <f>'Raw Data'!A9</f>
        <v>Infosys</v>
      </c>
      <c r="B9" t="str">
        <f>'Raw Data'!B9</f>
        <v>FY2023-24</v>
      </c>
      <c r="C9" s="4">
        <f>'Raw Data'!D9/'Raw Data'!C9*100</f>
        <v>17.070996290752912</v>
      </c>
      <c r="D9" s="4">
        <f>'Raw Data'!D9/('Raw Data'!G9+'Raw Data'!H9)*100</f>
        <v>29.770983703300196</v>
      </c>
      <c r="E9" s="4">
        <f>('Raw Data'!E9+'Raw Data'!F9)/('Raw Data'!G9+'Raw Data'!H9+'Raw Data'!I9)*100</f>
        <v>37.790101062451413</v>
      </c>
      <c r="F9" s="4">
        <f>'Raw Data'!I9/('Raw Data'!G9+'Raw Data'!H9)</f>
        <v>9.4863588905533619E-2</v>
      </c>
      <c r="G9" s="4">
        <f>('Raw Data'!L9+'Raw Data'!M9+'Raw Data'!N9)/'Raw Data'!J9</f>
        <v>1.1374130737134909</v>
      </c>
      <c r="H9" s="4">
        <f>'Raw Data'!C9/'Raw Data'!K9</f>
        <v>1.1297603293633289</v>
      </c>
    </row>
    <row r="10" spans="1:8" x14ac:dyDescent="0.3">
      <c r="A10" t="str">
        <f>'Raw Data'!A10</f>
        <v>Infosys</v>
      </c>
      <c r="B10" t="str">
        <f>'Raw Data'!B10</f>
        <v>FY2024-25</v>
      </c>
      <c r="C10" s="4">
        <f>'Raw Data'!D10/'Raw Data'!C10*100</f>
        <v>16.389349039818395</v>
      </c>
      <c r="D10" s="4">
        <f>'Raw Data'!D10/('Raw Data'!G10+'Raw Data'!H10)*100</f>
        <v>27.878895405873632</v>
      </c>
      <c r="E10" s="4">
        <f>('Raw Data'!E10+'Raw Data'!F10)/('Raw Data'!G10+'Raw Data'!H10+'Raw Data'!I10)*100</f>
        <v>36.545725407275697</v>
      </c>
      <c r="F10" s="4">
        <f>'Raw Data'!I10/('Raw Data'!G10+'Raw Data'!H10)</f>
        <v>8.5860694232816379E-2</v>
      </c>
      <c r="G10" s="4">
        <f>('Raw Data'!L10+'Raw Data'!M10+'Raw Data'!N10)/'Raw Data'!J10</f>
        <v>1.2711542857142857</v>
      </c>
      <c r="H10" s="4">
        <f>'Raw Data'!C10/'Raw Data'!K10</f>
        <v>1.1028113264995434</v>
      </c>
    </row>
    <row r="11" spans="1:8" x14ac:dyDescent="0.3">
      <c r="A11" t="str">
        <f>'Raw Data'!A11</f>
        <v>Infosys</v>
      </c>
      <c r="B11" t="str">
        <f>'Raw Data'!B11</f>
        <v>FY2025-26</v>
      </c>
      <c r="C11" s="4">
        <f>'Raw Data'!D11/'Raw Data'!C11*100</f>
        <v>16.479149174363279</v>
      </c>
      <c r="D11" s="4">
        <f>'Raw Data'!D11/('Raw Data'!G11+'Raw Data'!H11)*100</f>
        <v>31.706371429802267</v>
      </c>
      <c r="E11" s="4">
        <f>('Raw Data'!E11+'Raw Data'!F11)/('Raw Data'!G11+'Raw Data'!H11+'Raw Data'!I11)*100</f>
        <v>39.607754733994589</v>
      </c>
      <c r="F11" s="4">
        <f>'Raw Data'!I11/('Raw Data'!G11+'Raw Data'!H11)</f>
        <v>9.8823934864084778E-2</v>
      </c>
      <c r="G11" s="4">
        <f>('Raw Data'!L11+'Raw Data'!M11+'Raw Data'!N11)/'Raw Data'!J11</f>
        <v>1.0990241102181402</v>
      </c>
      <c r="H11" s="4">
        <f>'Raw Data'!C11/'Raw Data'!K11</f>
        <v>1.1578995125998133</v>
      </c>
    </row>
    <row r="12" spans="1:8" x14ac:dyDescent="0.3">
      <c r="A12" t="str">
        <f>'Raw Data'!A12</f>
        <v>Wipro</v>
      </c>
      <c r="B12" t="str">
        <f>'Raw Data'!B12</f>
        <v>FY2021-22</v>
      </c>
      <c r="C12" s="4">
        <f>'Raw Data'!D12/'Raw Data'!C12*100</f>
        <v>15.419608634254589</v>
      </c>
      <c r="D12" s="4">
        <f>'Raw Data'!D12/('Raw Data'!G12+'Raw Data'!H12)*100</f>
        <v>18.698836444811402</v>
      </c>
      <c r="E12" s="4">
        <f>('Raw Data'!E12+'Raw Data'!F12)/('Raw Data'!G12+'Raw Data'!H12+'Raw Data'!I12)*100</f>
        <v>18.884426821083935</v>
      </c>
      <c r="F12" s="4">
        <f>'Raw Data'!I12/('Raw Data'!G12+'Raw Data'!H12)</f>
        <v>0.26899224806201555</v>
      </c>
      <c r="G12" s="4">
        <f>('Raw Data'!L12+'Raw Data'!M12+'Raw Data'!N12)/'Raw Data'!J12</f>
        <v>0.90770890908866253</v>
      </c>
      <c r="H12" s="4">
        <f>'Raw Data'!C12/'Raw Data'!K12</f>
        <v>0.73932935355290486</v>
      </c>
    </row>
    <row r="13" spans="1:8" x14ac:dyDescent="0.3">
      <c r="A13" t="str">
        <f>'Raw Data'!A13</f>
        <v>Wipro</v>
      </c>
      <c r="B13" t="str">
        <f>'Raw Data'!B13</f>
        <v>FY2022-23</v>
      </c>
      <c r="C13" s="4">
        <f>'Raw Data'!D13/'Raw Data'!C13*100</f>
        <v>12.543155084232534</v>
      </c>
      <c r="D13" s="4">
        <f>'Raw Data'!D13/('Raw Data'!G13+'Raw Data'!H13)*100</f>
        <v>14.613501845678844</v>
      </c>
      <c r="E13" s="4">
        <f>('Raw Data'!E13+'Raw Data'!F13)/('Raw Data'!G13+'Raw Data'!H13+'Raw Data'!I13)*100</f>
        <v>16.580105009223782</v>
      </c>
      <c r="F13" s="4">
        <f>'Raw Data'!I13/('Raw Data'!G13+'Raw Data'!H13)</f>
        <v>0.22488827430637362</v>
      </c>
      <c r="G13" s="4">
        <f>('Raw Data'!L13+'Raw Data'!M13+'Raw Data'!N13)/'Raw Data'!J13</f>
        <v>1.0070034696087971</v>
      </c>
      <c r="H13" s="4">
        <f>'Raw Data'!C13/'Raw Data'!K13</f>
        <v>0.77390298117490297</v>
      </c>
    </row>
    <row r="14" spans="1:8" x14ac:dyDescent="0.3">
      <c r="A14" t="str">
        <f>'Raw Data'!A14</f>
        <v>Wipro</v>
      </c>
      <c r="B14" t="str">
        <f>'Raw Data'!B14</f>
        <v>FY2023-24</v>
      </c>
      <c r="C14" s="4">
        <f>'Raw Data'!D14/'Raw Data'!C14*100</f>
        <v>12.305217339959871</v>
      </c>
      <c r="D14" s="4">
        <f>'Raw Data'!D14/('Raw Data'!G14+'Raw Data'!H14)*100</f>
        <v>14.819207599318423</v>
      </c>
      <c r="E14" s="4">
        <f>('Raw Data'!E14+'Raw Data'!F14)/('Raw Data'!G14+'Raw Data'!H14+'Raw Data'!I14)*100</f>
        <v>17.556668890161202</v>
      </c>
      <c r="F14" s="4">
        <f>'Raw Data'!I14/('Raw Data'!G14+'Raw Data'!H14)</f>
        <v>0.22090751747548068</v>
      </c>
      <c r="G14" s="4">
        <f>('Raw Data'!L14+'Raw Data'!M14+'Raw Data'!N14)/'Raw Data'!J14</f>
        <v>0.90354919317267379</v>
      </c>
      <c r="H14" s="4">
        <f>'Raw Data'!C14/'Raw Data'!K14</f>
        <v>0.78318786760888559</v>
      </c>
    </row>
    <row r="15" spans="1:8" x14ac:dyDescent="0.3">
      <c r="A15" t="str">
        <f>'Raw Data'!A15</f>
        <v>Wipro</v>
      </c>
      <c r="B15" t="str">
        <f>'Raw Data'!B15</f>
        <v>FY2024-25</v>
      </c>
      <c r="C15" s="4">
        <f>'Raw Data'!D15/'Raw Data'!C15*100</f>
        <v>14.744231572236115</v>
      </c>
      <c r="D15" s="4">
        <f>'Raw Data'!D15/('Raw Data'!G15+'Raw Data'!H15)*100</f>
        <v>15.947967621815817</v>
      </c>
      <c r="E15" s="4">
        <f>('Raw Data'!E15+'Raw Data'!F15)/('Raw Data'!G15+'Raw Data'!H15+'Raw Data'!I15)*100</f>
        <v>18.679874290620241</v>
      </c>
      <c r="F15" s="4">
        <f>'Raw Data'!I15/('Raw Data'!G15+'Raw Data'!H15)</f>
        <v>0.23315376480772573</v>
      </c>
      <c r="G15" s="4">
        <f>('Raw Data'!L15+'Raw Data'!M15+'Raw Data'!N15)/'Raw Data'!J15</f>
        <v>0.91198528156591996</v>
      </c>
      <c r="H15" s="4">
        <f>'Raw Data'!C15/'Raw Data'!K15</f>
        <v>0.69638885914150872</v>
      </c>
    </row>
    <row r="16" spans="1:8" x14ac:dyDescent="0.3">
      <c r="A16" t="str">
        <f>'Raw Data'!A16</f>
        <v>Wipro</v>
      </c>
      <c r="B16" t="str">
        <f>'Raw Data'!B16</f>
        <v>FY2025-26</v>
      </c>
      <c r="C16" s="4">
        <f>'Raw Data'!D16/'Raw Data'!C16*100</f>
        <v>14.248358956641907</v>
      </c>
      <c r="D16" s="4">
        <f>'Raw Data'!D16/('Raw Data'!G16+'Raw Data'!H16)*100</f>
        <v>14.993927399188578</v>
      </c>
      <c r="E16" s="4">
        <f>('Raw Data'!E16+'Raw Data'!F16)/('Raw Data'!G16+'Raw Data'!H16+'Raw Data'!I16)*100</f>
        <v>17.357604563966344</v>
      </c>
      <c r="F16" s="4">
        <f>'Raw Data'!I16/('Raw Data'!G16+'Raw Data'!H16)</f>
        <v>0.23053160535934003</v>
      </c>
      <c r="G16" s="4">
        <f>('Raw Data'!L16+'Raw Data'!M16+'Raw Data'!N16)/'Raw Data'!J16</f>
        <v>0.74283635515223712</v>
      </c>
      <c r="H16" s="4">
        <f>'Raw Data'!C16/'Raw Data'!K16</f>
        <v>0.65745101449069621</v>
      </c>
    </row>
    <row r="17" spans="1:8" x14ac:dyDescent="0.3">
      <c r="A17" t="str">
        <f>'Raw Data'!A17</f>
        <v>HCL Technologies</v>
      </c>
      <c r="B17" t="str">
        <f>'Raw Data'!B17</f>
        <v>FY2021-22</v>
      </c>
      <c r="C17" s="4">
        <f>'Raw Data'!D17/'Raw Data'!C17*100</f>
        <v>15.760469813545669</v>
      </c>
      <c r="D17" s="4">
        <f>'Raw Data'!D17/('Raw Data'!G17+'Raw Data'!H17)*100</f>
        <v>21.802823270988792</v>
      </c>
      <c r="E17" s="4">
        <f>('Raw Data'!E17+'Raw Data'!F17)/('Raw Data'!G17+'Raw Data'!H17+'Raw Data'!I17)*100</f>
        <v>25.301434285128266</v>
      </c>
      <c r="F17" s="4">
        <f>'Raw Data'!I17/('Raw Data'!G17+'Raw Data'!H17)</f>
        <v>0.10244855767677746</v>
      </c>
      <c r="G17" s="4">
        <f>('Raw Data'!L17+'Raw Data'!M17+'Raw Data'!N17)/'Raw Data'!J17</f>
        <v>1.6196283391405342</v>
      </c>
      <c r="H17" s="4">
        <f>'Raw Data'!C17/'Raw Data'!K17</f>
        <v>0.96322578468528242</v>
      </c>
    </row>
    <row r="18" spans="1:8" x14ac:dyDescent="0.3">
      <c r="A18" t="str">
        <f>'Raw Data'!A18</f>
        <v>HCL Technologies</v>
      </c>
      <c r="B18" t="str">
        <f>'Raw Data'!B18</f>
        <v>FY2022-23</v>
      </c>
      <c r="C18" s="4">
        <f>'Raw Data'!D18/'Raw Data'!C18*100</f>
        <v>14.637872575303579</v>
      </c>
      <c r="D18" s="4">
        <f>'Raw Data'!D18/('Raw Data'!G18+'Raw Data'!H18)*100</f>
        <v>22.706215121168107</v>
      </c>
      <c r="E18" s="4">
        <f>('Raw Data'!E18+'Raw Data'!F18)/('Raw Data'!G18+'Raw Data'!H18+'Raw Data'!I18)*100</f>
        <v>28.263935383694928</v>
      </c>
      <c r="F18" s="4">
        <f>'Raw Data'!I18/('Raw Data'!G18+'Raw Data'!H18)</f>
        <v>7.3297148536044646E-2</v>
      </c>
      <c r="G18" s="4">
        <f>('Raw Data'!L18+'Raw Data'!M18+'Raw Data'!N18)/'Raw Data'!J18</f>
        <v>1.7551516203201596</v>
      </c>
      <c r="H18" s="4">
        <f>'Raw Data'!C18/'Raw Data'!K18</f>
        <v>1.0880000000000001</v>
      </c>
    </row>
    <row r="19" spans="1:8" x14ac:dyDescent="0.3">
      <c r="A19" t="str">
        <f>'Raw Data'!A19</f>
        <v>HCL Technologies</v>
      </c>
      <c r="B19" t="str">
        <f>'Raw Data'!B19</f>
        <v>FY2023-24</v>
      </c>
      <c r="C19" s="4">
        <f>'Raw Data'!D19/'Raw Data'!C19*100</f>
        <v>14.285844258640926</v>
      </c>
      <c r="D19" s="4">
        <f>'Raw Data'!D19/('Raw Data'!G19+'Raw Data'!H19)*100</f>
        <v>23.002212032872858</v>
      </c>
      <c r="E19" s="4">
        <f>('Raw Data'!E19+'Raw Data'!F19)/('Raw Data'!G19+'Raw Data'!H19+'Raw Data'!I19)*100</f>
        <v>29.073616233669735</v>
      </c>
      <c r="F19" s="4">
        <f>'Raw Data'!I19/('Raw Data'!G19+'Raw Data'!H19)</f>
        <v>8.4320935206480818E-2</v>
      </c>
      <c r="G19" s="4">
        <f>('Raw Data'!L19+'Raw Data'!M19+'Raw Data'!N19)/'Raw Data'!J19</f>
        <v>1.835194301036539</v>
      </c>
      <c r="H19" s="4">
        <f>'Raw Data'!C19/'Raw Data'!K19</f>
        <v>1.1101650405025958</v>
      </c>
    </row>
    <row r="20" spans="1:8" x14ac:dyDescent="0.3">
      <c r="A20" t="str">
        <f>'Raw Data'!A20</f>
        <v>HCL Technologies</v>
      </c>
      <c r="B20" t="str">
        <f>'Raw Data'!B20</f>
        <v>FY2024-25</v>
      </c>
      <c r="C20" s="4">
        <f>'Raw Data'!D20/'Raw Data'!C20*100</f>
        <v>14.85626414933151</v>
      </c>
      <c r="D20" s="4">
        <f>'Raw Data'!D20/('Raw Data'!G20+'Raw Data'!H20)*100</f>
        <v>24.965903380948962</v>
      </c>
      <c r="E20" s="4">
        <f>('Raw Data'!E20+'Raw Data'!F20)/('Raw Data'!G20+'Raw Data'!H20+'Raw Data'!I20)*100</f>
        <v>31.482530191884738</v>
      </c>
      <c r="F20" s="4">
        <f>'Raw Data'!I20/('Raw Data'!G20+'Raw Data'!H20)</f>
        <v>9.0101213121814655E-2</v>
      </c>
      <c r="G20" s="4">
        <f>('Raw Data'!L20+'Raw Data'!M20+'Raw Data'!N20)/'Raw Data'!J20</f>
        <v>1.6555395985848891</v>
      </c>
      <c r="H20" s="4">
        <f>'Raw Data'!C20/'Raw Data'!K20</f>
        <v>1.1203579632465543</v>
      </c>
    </row>
    <row r="21" spans="1:8" x14ac:dyDescent="0.3">
      <c r="A21" t="str">
        <f>'Raw Data'!A21</f>
        <v>HCL Technologies</v>
      </c>
      <c r="B21" t="str">
        <f>'Raw Data'!B21</f>
        <v>FY2025-26</v>
      </c>
      <c r="C21" s="4">
        <f>'Raw Data'!D21/'Raw Data'!C21*100</f>
        <v>12.787373985738872</v>
      </c>
      <c r="D21" s="4">
        <f>'Raw Data'!D21/('Raw Data'!G21+'Raw Data'!H21)*100</f>
        <v>22.140623960619969</v>
      </c>
      <c r="E21" s="4">
        <f>('Raw Data'!E21+'Raw Data'!F21)/('Raw Data'!G21+'Raw Data'!H21+'Raw Data'!I21)*100</f>
        <v>28.578004478726051</v>
      </c>
      <c r="F21" s="4">
        <f>'Raw Data'!I21/('Raw Data'!G21+'Raw Data'!H21)</f>
        <v>6.9380695802567685E-2</v>
      </c>
      <c r="G21" s="4">
        <f>('Raw Data'!L21+'Raw Data'!M21+'Raw Data'!N21)/'Raw Data'!J21</f>
        <v>1.3169351691844584</v>
      </c>
      <c r="H21" s="4">
        <f>'Raw Data'!C21/'Raw Data'!K21</f>
        <v>1.1194412427531868</v>
      </c>
    </row>
    <row r="22" spans="1:8" x14ac:dyDescent="0.3">
      <c r="A22" t="str">
        <f>'Raw Data'!A22</f>
        <v>Tech Mahindra</v>
      </c>
      <c r="B22" t="str">
        <f>'Raw Data'!B22</f>
        <v>FY2021-22</v>
      </c>
      <c r="C22" s="4">
        <f>'Raw Data'!D22/'Raw Data'!C22*100</f>
        <v>12.46718631008377</v>
      </c>
      <c r="D22" s="4">
        <f>'Raw Data'!D22/('Raw Data'!G22+'Raw Data'!H22)*100</f>
        <v>20.702827153468199</v>
      </c>
      <c r="E22" s="4">
        <f>('Raw Data'!E22+'Raw Data'!F22)/('Raw Data'!G22+'Raw Data'!H22+'Raw Data'!I22)*100</f>
        <v>25.80895536552547</v>
      </c>
      <c r="F22" s="4">
        <f>'Raw Data'!I22/('Raw Data'!G22+'Raw Data'!H22)</f>
        <v>9.7390062375165981E-2</v>
      </c>
      <c r="G22" s="4">
        <f>('Raw Data'!L22+'Raw Data'!M22+'Raw Data'!N22)/'Raw Data'!J22</f>
        <v>1.0695441071931542</v>
      </c>
      <c r="H22" s="4">
        <f>'Raw Data'!C22/'Raw Data'!K22</f>
        <v>1.0051896297463723</v>
      </c>
    </row>
    <row r="23" spans="1:8" x14ac:dyDescent="0.3">
      <c r="A23" t="str">
        <f>'Raw Data'!A23</f>
        <v>Tech Mahindra</v>
      </c>
      <c r="B23" t="str">
        <f>'Raw Data'!B23</f>
        <v>FY2022-23</v>
      </c>
      <c r="C23" s="4">
        <f>'Raw Data'!D23/'Raw Data'!C23*100</f>
        <v>9.0660196433865892</v>
      </c>
      <c r="D23" s="4">
        <f>'Raw Data'!D23/('Raw Data'!G23+'Raw Data'!H23)*100</f>
        <v>17.30129456212287</v>
      </c>
      <c r="E23" s="4">
        <f>('Raw Data'!E23+'Raw Data'!F23)/('Raw Data'!G23+'Raw Data'!H23+'Raw Data'!I23)*100</f>
        <v>22.081089982944562</v>
      </c>
      <c r="F23" s="4">
        <f>'Raw Data'!I23/('Raw Data'!G23+'Raw Data'!H23)</f>
        <v>9.8128883238733006E-2</v>
      </c>
      <c r="G23" s="4">
        <f>('Raw Data'!L23+'Raw Data'!M23+'Raw Data'!N23)/'Raw Data'!J23</f>
        <v>1.1317328936521023</v>
      </c>
      <c r="H23" s="4">
        <f>'Raw Data'!C23/'Raw Data'!K23</f>
        <v>1.1628508833182041</v>
      </c>
    </row>
    <row r="24" spans="1:8" x14ac:dyDescent="0.3">
      <c r="A24" t="str">
        <f>'Raw Data'!A24</f>
        <v>Tech Mahindra</v>
      </c>
      <c r="B24" t="str">
        <f>'Raw Data'!B24</f>
        <v>FY2023-24</v>
      </c>
      <c r="C24" s="4">
        <f>'Raw Data'!D24/'Raw Data'!C24*100</f>
        <v>4.5346231885451633</v>
      </c>
      <c r="D24" s="4">
        <f>'Raw Data'!D24/('Raw Data'!G24+'Raw Data'!H24)*100</f>
        <v>8.8408438135091174</v>
      </c>
      <c r="E24" s="4">
        <f>('Raw Data'!E24+'Raw Data'!F24)/('Raw Data'!G24+'Raw Data'!H24+'Raw Data'!I24)*100</f>
        <v>12.383029572589288</v>
      </c>
      <c r="F24" s="4">
        <f>'Raw Data'!I24/('Raw Data'!G24+'Raw Data'!H24)</f>
        <v>9.5116500558692738E-2</v>
      </c>
      <c r="G24" s="4">
        <f>('Raw Data'!L24+'Raw Data'!M24+'Raw Data'!N24)/'Raw Data'!J24</f>
        <v>1.1600157785268594</v>
      </c>
      <c r="H24" s="4">
        <f>'Raw Data'!C24/'Raw Data'!K24</f>
        <v>1.2050193399167075</v>
      </c>
    </row>
    <row r="25" spans="1:8" x14ac:dyDescent="0.3">
      <c r="A25" t="str">
        <f>'Raw Data'!A25</f>
        <v>Tech Mahindra</v>
      </c>
      <c r="B25" t="str">
        <f>'Raw Data'!B25</f>
        <v>FY2024-25</v>
      </c>
      <c r="C25" s="4">
        <f>'Raw Data'!D25/'Raw Data'!C25*100</f>
        <v>8.0234693319091193</v>
      </c>
      <c r="D25" s="4">
        <f>'Raw Data'!D25/('Raw Data'!G25+'Raw Data'!H25)*100</f>
        <v>15.538256309047386</v>
      </c>
      <c r="E25" s="4">
        <f>('Raw Data'!E25+'Raw Data'!F25)/('Raw Data'!G25+'Raw Data'!H25+'Raw Data'!I25)*100</f>
        <v>20.331986919252586</v>
      </c>
      <c r="F25" s="4">
        <f>'Raw Data'!I25/('Raw Data'!G25+'Raw Data'!H25)</f>
        <v>7.4016409919046844E-2</v>
      </c>
      <c r="G25" s="4">
        <f>('Raw Data'!L25+'Raw Data'!M25+'Raw Data'!N25)/'Raw Data'!J25</f>
        <v>1.0839185747216042</v>
      </c>
      <c r="H25" s="4">
        <f>'Raw Data'!C25/'Raw Data'!K25</f>
        <v>1.1970266521485726</v>
      </c>
    </row>
    <row r="26" spans="1:8" x14ac:dyDescent="0.3">
      <c r="A26" t="str">
        <f>'Raw Data'!A26</f>
        <v>Tech Mahindra</v>
      </c>
      <c r="B26" t="str">
        <f>'Raw Data'!B26</f>
        <v>FY2025-26</v>
      </c>
      <c r="C26" s="4">
        <f>'Raw Data'!D26/'Raw Data'!C26*100</f>
        <v>8.4675985736261641</v>
      </c>
      <c r="D26" s="4">
        <f>'Raw Data'!D26/('Raw Data'!G26+'Raw Data'!H26)*100</f>
        <v>16.244588963849889</v>
      </c>
      <c r="E26" s="4">
        <f>('Raw Data'!E26+'Raw Data'!F26)/('Raw Data'!G26+'Raw Data'!H26+'Raw Data'!I26)*100</f>
        <v>21.730038740189173</v>
      </c>
      <c r="F26" s="4">
        <f>'Raw Data'!I26/('Raw Data'!G26+'Raw Data'!H26)</f>
        <v>7.3819701911843158E-2</v>
      </c>
      <c r="G26" s="4">
        <f>('Raw Data'!L26+'Raw Data'!M26+'Raw Data'!N26)/'Raw Data'!J26</f>
        <v>1.0691692435261806</v>
      </c>
      <c r="H26" s="4">
        <f>'Raw Data'!C26/'Raw Data'!K26</f>
        <v>1.1555431716350368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tabSelected="1" topLeftCell="A12" zoomScaleNormal="100" workbookViewId="0">
      <selection activeCell="A9" sqref="A9:B9"/>
    </sheetView>
  </sheetViews>
  <sheetFormatPr defaultColWidth="8.6640625" defaultRowHeight="14.4" x14ac:dyDescent="0.3"/>
  <cols>
    <col min="1" max="6" width="16" customWidth="1"/>
  </cols>
  <sheetData>
    <row r="1" spans="1:6" ht="15.6" x14ac:dyDescent="0.3">
      <c r="A1" s="8" t="s">
        <v>36</v>
      </c>
      <c r="B1" s="9"/>
      <c r="C1" s="9"/>
      <c r="D1" s="9"/>
      <c r="E1" s="9"/>
      <c r="F1" s="9"/>
    </row>
    <row r="2" spans="1:6" x14ac:dyDescent="0.3">
      <c r="A2" s="9" t="s">
        <v>1</v>
      </c>
      <c r="B2" s="9" t="s">
        <v>14</v>
      </c>
      <c r="C2" s="9" t="s">
        <v>20</v>
      </c>
      <c r="D2" s="9" t="s">
        <v>21</v>
      </c>
      <c r="E2" s="9" t="s">
        <v>22</v>
      </c>
      <c r="F2" s="9" t="s">
        <v>23</v>
      </c>
    </row>
    <row r="3" spans="1:6" x14ac:dyDescent="0.3">
      <c r="A3" s="9" t="s">
        <v>15</v>
      </c>
      <c r="B3" s="9">
        <f>'Raw Data'!D2</f>
        <v>38327</v>
      </c>
      <c r="C3" s="9">
        <f>'Raw Data'!D7</f>
        <v>22110</v>
      </c>
      <c r="D3" s="9">
        <f>'Raw Data'!D12</f>
        <v>12229.6</v>
      </c>
      <c r="E3" s="9">
        <f>'Raw Data'!D17</f>
        <v>13499</v>
      </c>
      <c r="F3" s="9">
        <f>'Raw Data'!D22</f>
        <v>5566.1</v>
      </c>
    </row>
    <row r="4" spans="1:6" x14ac:dyDescent="0.3">
      <c r="A4" s="9" t="s">
        <v>16</v>
      </c>
      <c r="B4" s="9">
        <f>'Raw Data'!D3</f>
        <v>42147</v>
      </c>
      <c r="C4" s="9">
        <f>'Raw Data'!D8</f>
        <v>24095</v>
      </c>
      <c r="D4" s="9">
        <f>'Raw Data'!D13</f>
        <v>11350</v>
      </c>
      <c r="E4" s="9">
        <f>'Raw Data'!D18</f>
        <v>14851</v>
      </c>
      <c r="F4" s="9">
        <f>'Raw Data'!D23</f>
        <v>4831.3</v>
      </c>
    </row>
    <row r="5" spans="1:6" x14ac:dyDescent="0.3">
      <c r="A5" s="9" t="s">
        <v>17</v>
      </c>
      <c r="B5" s="9">
        <f>'Raw Data'!D4</f>
        <v>45908</v>
      </c>
      <c r="C5" s="9">
        <f>'Raw Data'!D9</f>
        <v>26233</v>
      </c>
      <c r="D5" s="9">
        <f>'Raw Data'!D14</f>
        <v>11045.2</v>
      </c>
      <c r="E5" s="9">
        <f>'Raw Data'!D19</f>
        <v>15702</v>
      </c>
      <c r="F5" s="9">
        <f>'Raw Data'!D24</f>
        <v>2357.8000000000002</v>
      </c>
    </row>
    <row r="6" spans="1:6" x14ac:dyDescent="0.3">
      <c r="A6" s="9" t="s">
        <v>18</v>
      </c>
      <c r="B6" s="9">
        <f>'Raw Data'!D5</f>
        <v>48553</v>
      </c>
      <c r="C6" s="9">
        <f>'Raw Data'!D10</f>
        <v>26713</v>
      </c>
      <c r="D6" s="9">
        <f>'Raw Data'!D15</f>
        <v>13135.4</v>
      </c>
      <c r="E6" s="9">
        <f>'Raw Data'!D20</f>
        <v>17390</v>
      </c>
      <c r="F6" s="9">
        <f>'Raw Data'!D25</f>
        <v>4251.5</v>
      </c>
    </row>
    <row r="7" spans="1:6" x14ac:dyDescent="0.3">
      <c r="A7" s="9" t="s">
        <v>19</v>
      </c>
      <c r="B7" s="9">
        <f>'Raw Data'!D6</f>
        <v>49210</v>
      </c>
      <c r="C7" s="9">
        <f>'Raw Data'!D11</f>
        <v>29440</v>
      </c>
      <c r="D7" s="9">
        <f>'Raw Data'!D16</f>
        <v>13197.4</v>
      </c>
      <c r="E7" s="9">
        <f>'Raw Data'!D21</f>
        <v>16642</v>
      </c>
      <c r="F7" s="9">
        <f>'Raw Data'!D26</f>
        <v>4810.8999999999996</v>
      </c>
    </row>
    <row r="9" spans="1:6" ht="15.6" x14ac:dyDescent="0.3">
      <c r="A9" s="5" t="s">
        <v>37</v>
      </c>
      <c r="B9" s="6"/>
      <c r="C9" s="6"/>
      <c r="D9" s="6"/>
      <c r="E9" s="6"/>
      <c r="F9" s="6"/>
    </row>
    <row r="10" spans="1:6" x14ac:dyDescent="0.3">
      <c r="A10" s="6" t="s">
        <v>1</v>
      </c>
      <c r="B10" s="6" t="s">
        <v>14</v>
      </c>
      <c r="C10" s="6" t="s">
        <v>20</v>
      </c>
      <c r="D10" s="6" t="s">
        <v>21</v>
      </c>
      <c r="E10" s="6" t="s">
        <v>22</v>
      </c>
      <c r="F10" s="6" t="s">
        <v>23</v>
      </c>
    </row>
    <row r="11" spans="1:6" x14ac:dyDescent="0.3">
      <c r="A11" s="6" t="s">
        <v>15</v>
      </c>
      <c r="B11" s="7">
        <f>Ratios!D2</f>
        <v>42.996892493745726</v>
      </c>
      <c r="C11" s="7">
        <f>Ratios!D7</f>
        <v>29.34306569343066</v>
      </c>
      <c r="D11" s="7">
        <f>Ratios!D12</f>
        <v>18.698836444811402</v>
      </c>
      <c r="E11" s="7">
        <f>Ratios!D17</f>
        <v>21.802823270988792</v>
      </c>
      <c r="F11" s="7">
        <f>Ratios!D22</f>
        <v>20.702827153468199</v>
      </c>
    </row>
    <row r="12" spans="1:6" x14ac:dyDescent="0.3">
      <c r="A12" s="6" t="s">
        <v>16</v>
      </c>
      <c r="B12" s="7">
        <f>Ratios!D3</f>
        <v>46.610413164646552</v>
      </c>
      <c r="C12" s="7">
        <f>Ratios!D8</f>
        <v>31.95326693808267</v>
      </c>
      <c r="D12" s="7">
        <f>Ratios!D13</f>
        <v>14.613501845678844</v>
      </c>
      <c r="E12" s="7">
        <f>Ratios!D18</f>
        <v>22.706215121168107</v>
      </c>
      <c r="F12" s="7">
        <f>Ratios!D23</f>
        <v>17.30129456212287</v>
      </c>
    </row>
    <row r="13" spans="1:6" x14ac:dyDescent="0.3">
      <c r="A13" s="6" t="s">
        <v>17</v>
      </c>
      <c r="B13" s="7">
        <f>Ratios!D4</f>
        <v>50.733238294157303</v>
      </c>
      <c r="C13" s="7">
        <f>Ratios!D9</f>
        <v>29.770983703300196</v>
      </c>
      <c r="D13" s="7">
        <f>Ratios!D14</f>
        <v>14.819207599318423</v>
      </c>
      <c r="E13" s="7">
        <f>Ratios!D19</f>
        <v>23.002212032872858</v>
      </c>
      <c r="F13" s="7">
        <f>Ratios!D24</f>
        <v>8.8408438135091174</v>
      </c>
    </row>
    <row r="14" spans="1:6" x14ac:dyDescent="0.3">
      <c r="A14" s="6" t="s">
        <v>18</v>
      </c>
      <c r="B14" s="7">
        <f>Ratios!D5</f>
        <v>51.240027016758837</v>
      </c>
      <c r="C14" s="7">
        <f>Ratios!D10</f>
        <v>27.878895405873632</v>
      </c>
      <c r="D14" s="7">
        <f>Ratios!D15</f>
        <v>15.947967621815817</v>
      </c>
      <c r="E14" s="7">
        <f>Ratios!D20</f>
        <v>24.965903380948962</v>
      </c>
      <c r="F14" s="7">
        <f>Ratios!D25</f>
        <v>15.538256309047386</v>
      </c>
    </row>
    <row r="15" spans="1:6" x14ac:dyDescent="0.3">
      <c r="A15" s="6" t="s">
        <v>19</v>
      </c>
      <c r="B15" s="7">
        <f>Ratios!D6</f>
        <v>45.887728459530024</v>
      </c>
      <c r="C15" s="7">
        <f>Ratios!D11</f>
        <v>31.706371429802267</v>
      </c>
      <c r="D15" s="7">
        <f>Ratios!D16</f>
        <v>14.993927399188578</v>
      </c>
      <c r="E15" s="7">
        <f>Ratios!D21</f>
        <v>22.140623960619969</v>
      </c>
      <c r="F15" s="7">
        <f>Ratios!D26</f>
        <v>16.244588963849889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Source Note</vt:lpstr>
      <vt:lpstr>Ratios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Chithra R</cp:lastModifiedBy>
  <cp:revision>1</cp:revision>
  <dcterms:created xsi:type="dcterms:W3CDTF">2026-07-08T11:15:44Z</dcterms:created>
  <dcterms:modified xsi:type="dcterms:W3CDTF">2026-07-09T13:03:39Z</dcterms:modified>
  <dc:language>en-US</dc:language>
</cp:coreProperties>
</file>